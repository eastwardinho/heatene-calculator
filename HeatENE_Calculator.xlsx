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s" state="visible" r:id="rId4"/>
    <sheet sheetId="2" name="Rooms" state="visible" r:id="rId5"/>
    <sheet sheetId="3" name="Results" state="visible" r:id="rId6"/>
    <sheet sheetId="4" name="Pricing" state="visible" r:id="rId7"/>
  </sheets>
  <definedNames>
    <definedName name="Property_Type">Inputs!$C$4</definedName>
    <definedName name="Property_Age">Inputs!$C$5</definedName>
    <definedName name="Insulation_Rating">Inputs!$C$6</definedName>
    <definedName name="UK_Region">Inputs!$C$7</definedName>
    <definedName name="Current_Heating">Inputs!$C$8</definedName>
  </definedNames>
  <calcPr calcId="171027"/>
</workbook>
</file>

<file path=xl/sharedStrings.xml><?xml version="1.0" encoding="utf-8"?>
<sst xmlns="http://schemas.openxmlformats.org/spreadsheetml/2006/main" count="144" uniqueCount="81">
  <si>
    <t>HeatENE Whole-Home Heating Calculator</t>
  </si>
  <si>
    <t>PROPERTY DETAILS</t>
  </si>
  <si>
    <t>1=Flat, 2=Terrace, 3=Semi, 4=Detached, 5=Bungalow</t>
  </si>
  <si>
    <t>Property Type</t>
  </si>
  <si>
    <t>1=Pre-1920, 2=1920-50, 3=1950-80, 4=1980-2000, 5=2000+</t>
  </si>
  <si>
    <t>Property Age</t>
  </si>
  <si>
    <t>1=Poor, 2=Average, 3=Good, 4=Excellent</t>
  </si>
  <si>
    <t>Insulation Rating</t>
  </si>
  <si>
    <t>1=Scotland, 2=N.England, 3=Midlands, 4=Wales, 5=S.England, 6=London</t>
  </si>
  <si>
    <t>UK Region</t>
  </si>
  <si>
    <t>1=Gas, 2=Electric, 3=Storage, 4=Oil, 5=LPG, 6=None</t>
  </si>
  <si>
    <t>Current Heating</t>
  </si>
  <si>
    <t>ENERGY COSTS</t>
  </si>
  <si>
    <t>Electricity Rate (p/kWh)</t>
  </si>
  <si>
    <t>UK average ~22p (Jan 2026)</t>
  </si>
  <si>
    <t>Gas Rate (p/kWh)</t>
  </si>
  <si>
    <t>UK average ~5.5p (Jan 2026)</t>
  </si>
  <si>
    <t>Annual Heating Bill (£)</t>
  </si>
  <si>
    <t>Your current annual heating cost</t>
  </si>
  <si>
    <t>Room-by-Room Heat Loss Calculator</t>
  </si>
  <si>
    <t>#</t>
  </si>
  <si>
    <t>Room Name</t>
  </si>
  <si>
    <t>Type</t>
  </si>
  <si>
    <t>Length(m)</t>
  </si>
  <si>
    <t>Width(m)</t>
  </si>
  <si>
    <t>Height(m)</t>
  </si>
  <si>
    <t>Ext. Walls</t>
  </si>
  <si>
    <t>Windows</t>
  </si>
  <si>
    <t>Floor Type</t>
  </si>
  <si>
    <t>Heat Loss (W)</t>
  </si>
  <si>
    <t>Panel Size (W)</t>
  </si>
  <si>
    <t>HeatENE Model</t>
  </si>
  <si>
    <t>Living Room</t>
  </si>
  <si>
    <t>Bedroom 1</t>
  </si>
  <si>
    <t/>
  </si>
  <si>
    <t>Room Types:</t>
  </si>
  <si>
    <t>1=Living, 2=Bedroom, 3=Kitchen, 4=Bathroom, 5=Office, 6=Hallway, 7=Dining</t>
  </si>
  <si>
    <t>Windows:</t>
  </si>
  <si>
    <t>1=Small, 2=Medium, 3=Large, 4=Extensive</t>
  </si>
  <si>
    <t>Floor Type:</t>
  </si>
  <si>
    <t>1=Ground, 2=Upper, 3=Over unheated space</t>
  </si>
  <si>
    <t>HeatENE Results &amp; Savings</t>
  </si>
  <si>
    <t>SYSTEM SUMMARY</t>
  </si>
  <si>
    <t>Total Heat Requirement (W)</t>
  </si>
  <si>
    <t>Number of Panels Needed</t>
  </si>
  <si>
    <t>Total Panel Capacity (W)</t>
  </si>
  <si>
    <t>EQUIPMENT COSTS</t>
  </si>
  <si>
    <t>HeatENE 400 panels (£280 each)</t>
  </si>
  <si>
    <t>HeatENE 600 panels (£350 each)</t>
  </si>
  <si>
    <t>HeatENE 800 panels (£420 each)</t>
  </si>
  <si>
    <t>HeatENE 1000 panels (£500 each)</t>
  </si>
  <si>
    <t>Total Equipment Cost</t>
  </si>
  <si>
    <t>Installation (£50/panel, optional)</t>
  </si>
  <si>
    <t>Total with Installation</t>
  </si>
  <si>
    <t>ANNUAL RUNNING COSTS</t>
  </si>
  <si>
    <t>Current Annual Heating Cost</t>
  </si>
  <si>
    <t>HeatENE Annual Running Cost</t>
  </si>
  <si>
    <t>(Based on 8 hrs/day, 180 heating days)</t>
  </si>
  <si>
    <t>Annual Savings</t>
  </si>
  <si>
    <t>Break-even Point (years)</t>
  </si>
  <si>
    <t>ENVIRONMENTAL IMPACT</t>
  </si>
  <si>
    <t>CO₂ Saved per Year (kg)</t>
  </si>
  <si>
    <t>(Gas: 0.182 kg/kWh, Electric: 0.207 kg/kWh)</t>
  </si>
  <si>
    <t>10-YEAR PROJECTION</t>
  </si>
  <si>
    <t>Year</t>
  </si>
  <si>
    <t>Current System</t>
  </si>
  <si>
    <t>HeatENE</t>
  </si>
  <si>
    <t>HeatENE Panel Pricing</t>
  </si>
  <si>
    <t>Model</t>
  </si>
  <si>
    <t>Wattage</t>
  </si>
  <si>
    <t>Price (£)</t>
  </si>
  <si>
    <t>Best For</t>
  </si>
  <si>
    <t>HeatENE 400</t>
  </si>
  <si>
    <t>Small rooms, bathrooms, offices</t>
  </si>
  <si>
    <t>HeatENE 600</t>
  </si>
  <si>
    <t>Bedrooms, medium rooms</t>
  </si>
  <si>
    <t>HeatENE 800</t>
  </si>
  <si>
    <t>Living rooms, open spaces</t>
  </si>
  <si>
    <t>HeatENE 1000</t>
  </si>
  <si>
    <t>Large rooms, high ceilings</t>
  </si>
  <si>
    <t>💡 Tip: Edit prices above to update all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</si>
</sst>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£&quot;#,##0"/>
    <numFmt numFmtId="165" formatCode="0.0"/>
    <numFmt numFmtId="166" formatCode="0&quot;W&quot;"/>
  </numFmts>
  <fonts count="8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  <sz val="12"/>
    </font>
    <font>
      <i/>
      <color rgb="666666"/>
      <sz val="10"/>
    </font>
    <font>
      <b/>
    </font>
    <font>
      <i/>
      <sz val="10"/>
    </font>
    <font>
      <b/>
      <color rgb="2E7D32"/>
    </font>
    <font>
      <i/>
    </font>
  </fonts>
  <fills count="6">
    <fill>
      <patternFill patternType="none"/>
    </fill>
    <fill>
      <patternFill patternType="gray125"/>
    </fill>
    <fill>
      <patternFill patternType="solid">
        <fgColor rgb="2E7D32"/>
      </patternFill>
    </fill>
    <fill>
      <patternFill patternType="solid">
        <fgColor rgb="E8F5E9"/>
      </patternFill>
    </fill>
    <fill>
      <patternFill patternType="solid">
        <fgColor rgb="FFF9C4"/>
      </patternFill>
    </fill>
    <fill>
      <patternFill patternType="solid">
        <fgColor rgb="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4" borderId="1" xfId="0" applyFill="1" applyBorder="1"/>
    <xf numFmtId="0" fontId="3" fillId="0" borderId="0" xfId="0" applyFont="1"/>
    <xf numFmtId="1" fontId="0" fillId="0" borderId="0" xfId="0" applyNumberFormat="1"/>
    <xf numFmtId="0" fontId="4" fillId="0" borderId="0" xfId="0" applyFont="1"/>
    <xf numFmtId="0" fontId="5" fillId="0" borderId="0" xfId="0" applyFont="1"/>
    <xf numFmtId="1" fontId="4" fillId="0" borderId="0" xfId="0" applyNumberFormat="1" applyFont="1"/>
    <xf numFmtId="164" fontId="0" fillId="0" borderId="0" xfId="0" applyNumberFormat="1"/>
    <xf numFmtId="164" fontId="4" fillId="5" borderId="0" xfId="0" applyNumberFormat="1" applyFont="1" applyFill="1"/>
    <xf numFmtId="164" fontId="4" fillId="0" borderId="0" xfId="0" applyNumberFormat="1" applyFont="1"/>
    <xf numFmtId="164" fontId="6" fillId="5" borderId="0" xfId="0" applyNumberFormat="1" applyFont="1" applyFill="1"/>
    <xf numFmtId="165" fontId="4" fillId="0" borderId="0" xfId="0" applyNumberFormat="1" applyFont="1"/>
    <xf numFmtId="166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472C4"/>
  </sheetPr>
  <dimension ref="A1:E13"/>
  <sheetFormatPr defaultRowHeight="15" outlineLevelRow="0" outlineLevelCol="0" x14ac:dyDescent="55"/>
  <cols>
    <col min="1" max="1" width="5" customWidth="1"/>
    <col min="2" max="2" width="30" customWidth="1"/>
    <col min="3" max="3" width="20" customWidth="1"/>
    <col min="4" max="4" width="15" customWidth="1"/>
    <col min="5" max="5" width="40" customWidth="1"/>
  </cols>
  <sheetData>
    <row r="1" ht="30" customHeight="1" spans="1:5" x14ac:dyDescent="0.25">
      <c r="A1" s="1" t="s">
        <v>0</v>
      </c>
      <c r="B1"/>
      <c r="C1"/>
      <c r="D1"/>
      <c r="E1"/>
    </row>
    <row r="3" spans="2:5" x14ac:dyDescent="0.25">
      <c r="B3" s="2" t="s">
        <v>1</v>
      </c>
      <c r="E3" t="s">
        <v>2</v>
      </c>
    </row>
    <row r="4" spans="2:5" x14ac:dyDescent="0.25">
      <c r="B4" t="s">
        <v>3</v>
      </c>
      <c r="C4" s="3">
        <v>1</v>
      </c>
      <c r="E4" s="4" t="s">
        <v>4</v>
      </c>
    </row>
    <row r="5" spans="2:5" x14ac:dyDescent="0.25">
      <c r="B5" t="s">
        <v>5</v>
      </c>
      <c r="C5" s="3">
        <v>3</v>
      </c>
      <c r="E5" s="4" t="s">
        <v>6</v>
      </c>
    </row>
    <row r="6" spans="2:5" x14ac:dyDescent="0.25">
      <c r="B6" t="s">
        <v>7</v>
      </c>
      <c r="C6" s="3">
        <v>2</v>
      </c>
      <c r="E6" s="4" t="s">
        <v>8</v>
      </c>
    </row>
    <row r="7" spans="2:5" x14ac:dyDescent="0.25">
      <c r="B7" t="s">
        <v>9</v>
      </c>
      <c r="C7" s="3">
        <v>5</v>
      </c>
      <c r="E7" s="4" t="s">
        <v>10</v>
      </c>
    </row>
    <row r="8" spans="2:5" x14ac:dyDescent="0.25">
      <c r="B8" t="s">
        <v>11</v>
      </c>
      <c r="C8" s="3">
        <v>1</v>
      </c>
      <c r="E8" s="4"/>
    </row>
    <row r="10" spans="2:2" x14ac:dyDescent="0.25">
      <c r="B10" s="2" t="s">
        <v>12</v>
      </c>
    </row>
    <row r="11" spans="2:5" x14ac:dyDescent="0.25">
      <c r="B11" t="s">
        <v>13</v>
      </c>
      <c r="C11" s="3">
        <v>22</v>
      </c>
      <c r="E11" s="4" t="s">
        <v>14</v>
      </c>
    </row>
    <row r="12" spans="2:5" x14ac:dyDescent="0.25">
      <c r="B12" t="s">
        <v>15</v>
      </c>
      <c r="C12" s="3">
        <v>5.5</v>
      </c>
      <c r="E12" s="4" t="s">
        <v>16</v>
      </c>
    </row>
    <row r="13" spans="2:5" x14ac:dyDescent="0.25">
      <c r="B13" t="s">
        <v>17</v>
      </c>
      <c r="C13" s="3">
        <v>1200</v>
      </c>
      <c r="E13" s="4" t="s">
        <v>18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800"/>
  </sheetPr>
  <dimension ref="A1:L21"/>
  <sheetFormatPr defaultRowHeight="15" outlineLevelRow="0" outlineLevelCol="0" x14ac:dyDescent="55"/>
  <cols>
    <col min="1" max="1" width="5" customWidth="1"/>
    <col min="2" max="2" width="20" customWidth="1"/>
    <col min="3" max="3" width="12" customWidth="1"/>
    <col min="4" max="5" width="10" customWidth="1"/>
    <col min="6" max="6" width="12" customWidth="1"/>
    <col min="7" max="7" width="14" customWidth="1"/>
    <col min="8" max="9" width="12" customWidth="1"/>
    <col min="10" max="10" width="15" customWidth="1"/>
    <col min="11" max="11" width="18" customWidth="1"/>
    <col min="12" max="12" width="15" customWidth="1"/>
  </cols>
  <sheetData>
    <row r="1" ht="30" customHeight="1" spans="1:12" x14ac:dyDescent="0.25">
      <c r="A1" s="1" t="s">
        <v>19</v>
      </c>
      <c r="B1"/>
      <c r="C1"/>
      <c r="D1"/>
      <c r="E1"/>
      <c r="F1"/>
      <c r="G1"/>
      <c r="H1"/>
      <c r="I1"/>
      <c r="J1"/>
      <c r="K1"/>
      <c r="L1"/>
    </row>
    <row r="3" spans="1:12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</row>
    <row r="4" spans="1:12" x14ac:dyDescent="0.25">
      <c r="A4">
        <v>1</v>
      </c>
      <c r="B4" s="3" t="s">
        <v>32</v>
      </c>
      <c r="C4" s="3">
        <v>1</v>
      </c>
      <c r="D4" s="3">
        <v>5</v>
      </c>
      <c r="E4" s="3">
        <v>4</v>
      </c>
      <c r="F4" s="3">
        <v>2.4</v>
      </c>
      <c r="G4" s="3">
        <v>2</v>
      </c>
      <c r="H4" s="3">
        <v>2</v>
      </c>
      <c r="I4" s="3">
        <v>1</v>
      </c>
      <c r="J4" s="5">
        <f>=IF(D4="","",D4*E4*(50+G4*5+H4*10)*(1+IF(Inputs!C5=1,0.3,IF(Inputs!C5=2,0.15,IF(Inputs!C5=3,0,-0.15))))*(F4/2.4))</f>
      </c>
      <c r="K4" s="5">
        <f>=IF(J4="","",CEILING(J4,100))</f>
      </c>
      <c r="L4">
        <f>=IF(K4="","",IF(K4&lt;=400,"HeatENE 400",IF(K4&lt;=600,"HeatENE 600",IF(K4&lt;=800,"HeatENE 800","HeatENE 1000"))))</f>
      </c>
    </row>
    <row r="5" spans="1:12" x14ac:dyDescent="0.25">
      <c r="A5">
        <v>2</v>
      </c>
      <c r="B5" s="3" t="s">
        <v>33</v>
      </c>
      <c r="C5" s="3">
        <v>2</v>
      </c>
      <c r="D5" s="3">
        <v>4</v>
      </c>
      <c r="E5" s="3">
        <v>3</v>
      </c>
      <c r="F5" s="3">
        <v>2.4</v>
      </c>
      <c r="G5" s="3">
        <v>1</v>
      </c>
      <c r="H5" s="3">
        <v>1</v>
      </c>
      <c r="I5" s="3">
        <v>2</v>
      </c>
      <c r="J5" s="5">
        <f>=IF(D5="","",D5*E5*(50+G5*5+H5*10)*(1+IF(Inputs!C5=1,0.3,IF(Inputs!C5=2,0.15,IF(Inputs!C5=3,0,-0.15))))*(F5/2.4))</f>
      </c>
      <c r="K5" s="5">
        <f>=IF(J5="","",CEILING(J5,100))</f>
      </c>
      <c r="L5">
        <f>=IF(K5="","",IF(K5&lt;=400,"HeatENE 400",IF(K5&lt;=600,"HeatENE 600",IF(K5&lt;=800,"HeatENE 800","HeatENE 1000"))))</f>
      </c>
    </row>
    <row r="6" spans="1:12" x14ac:dyDescent="0.25">
      <c r="A6">
        <v>3</v>
      </c>
      <c r="B6" s="3" t="s">
        <v>34</v>
      </c>
      <c r="C6" s="3" t="s">
        <v>34</v>
      </c>
      <c r="D6" s="3" t="s">
        <v>34</v>
      </c>
      <c r="E6" s="3" t="s">
        <v>34</v>
      </c>
      <c r="F6" s="3" t="s">
        <v>34</v>
      </c>
      <c r="G6" s="3" t="s">
        <v>34</v>
      </c>
      <c r="H6" s="3" t="s">
        <v>34</v>
      </c>
      <c r="I6" s="3" t="s">
        <v>34</v>
      </c>
      <c r="J6" s="5">
        <f>=IF(D6="","",D6*E6*(50+G6*5+H6*10)*(1+IF(Inputs!C5=1,0.3,IF(Inputs!C5=2,0.15,IF(Inputs!C5=3,0,-0.15))))*(F6/2.4))</f>
      </c>
      <c r="K6" s="5">
        <f>=IF(J6="","",CEILING(J6,100))</f>
      </c>
      <c r="L6">
        <f>=IF(K6="","",IF(K6&lt;=400,"HeatENE 400",IF(K6&lt;=600,"HeatENE 600",IF(K6&lt;=800,"HeatENE 800","HeatENE 1000"))))</f>
      </c>
    </row>
    <row r="7" spans="1:12" x14ac:dyDescent="0.25">
      <c r="A7">
        <v>4</v>
      </c>
      <c r="B7" s="3" t="s">
        <v>34</v>
      </c>
      <c r="C7" s="3" t="s">
        <v>34</v>
      </c>
      <c r="D7" s="3" t="s">
        <v>34</v>
      </c>
      <c r="E7" s="3" t="s">
        <v>34</v>
      </c>
      <c r="F7" s="3" t="s">
        <v>34</v>
      </c>
      <c r="G7" s="3" t="s">
        <v>34</v>
      </c>
      <c r="H7" s="3" t="s">
        <v>34</v>
      </c>
      <c r="I7" s="3" t="s">
        <v>34</v>
      </c>
      <c r="J7" s="5">
        <f>=IF(D7="","",D7*E7*(50+G7*5+H7*10)*(1+IF(Inputs!C5=1,0.3,IF(Inputs!C5=2,0.15,IF(Inputs!C5=3,0,-0.15))))*(F7/2.4))</f>
      </c>
      <c r="K7" s="5">
        <f>=IF(J7="","",CEILING(J7,100))</f>
      </c>
      <c r="L7">
        <f>=IF(K7="","",IF(K7&lt;=400,"HeatENE 400",IF(K7&lt;=600,"HeatENE 600",IF(K7&lt;=800,"HeatENE 800","HeatENE 1000"))))</f>
      </c>
    </row>
    <row r="8" spans="1:12" x14ac:dyDescent="0.25">
      <c r="A8">
        <v>5</v>
      </c>
      <c r="B8" s="3" t="s">
        <v>34</v>
      </c>
      <c r="C8" s="3" t="s">
        <v>34</v>
      </c>
      <c r="D8" s="3" t="s">
        <v>34</v>
      </c>
      <c r="E8" s="3" t="s">
        <v>34</v>
      </c>
      <c r="F8" s="3" t="s">
        <v>34</v>
      </c>
      <c r="G8" s="3" t="s">
        <v>34</v>
      </c>
      <c r="H8" s="3" t="s">
        <v>34</v>
      </c>
      <c r="I8" s="3" t="s">
        <v>34</v>
      </c>
      <c r="J8" s="5">
        <f>=IF(D8="","",D8*E8*(50+G8*5+H8*10)*(1+IF(Inputs!C5=1,0.3,IF(Inputs!C5=2,0.15,IF(Inputs!C5=3,0,-0.15))))*(F8/2.4))</f>
      </c>
      <c r="K8" s="5">
        <f>=IF(J8="","",CEILING(J8,100))</f>
      </c>
      <c r="L8">
        <f>=IF(K8="","",IF(K8&lt;=400,"HeatENE 400",IF(K8&lt;=600,"HeatENE 600",IF(K8&lt;=800,"HeatENE 800","HeatENE 1000"))))</f>
      </c>
    </row>
    <row r="9" spans="1:12" x14ac:dyDescent="0.25">
      <c r="A9">
        <v>6</v>
      </c>
      <c r="B9" s="3" t="s">
        <v>34</v>
      </c>
      <c r="C9" s="3" t="s">
        <v>34</v>
      </c>
      <c r="D9" s="3" t="s">
        <v>34</v>
      </c>
      <c r="E9" s="3" t="s">
        <v>34</v>
      </c>
      <c r="F9" s="3" t="s">
        <v>34</v>
      </c>
      <c r="G9" s="3" t="s">
        <v>34</v>
      </c>
      <c r="H9" s="3" t="s">
        <v>34</v>
      </c>
      <c r="I9" s="3" t="s">
        <v>34</v>
      </c>
      <c r="J9" s="5">
        <f>=IF(D9="","",D9*E9*(50+G9*5+H9*10)*(1+IF(Inputs!C5=1,0.3,IF(Inputs!C5=2,0.15,IF(Inputs!C5=3,0,-0.15))))*(F9/2.4))</f>
      </c>
      <c r="K9" s="5">
        <f>=IF(J9="","",CEILING(J9,100))</f>
      </c>
      <c r="L9">
        <f>=IF(K9="","",IF(K9&lt;=400,"HeatENE 400",IF(K9&lt;=600,"HeatENE 600",IF(K9&lt;=800,"HeatENE 800","HeatENE 1000"))))</f>
      </c>
    </row>
    <row r="10" spans="1:12" x14ac:dyDescent="0.25">
      <c r="A10">
        <v>7</v>
      </c>
      <c r="B10" s="3" t="s">
        <v>34</v>
      </c>
      <c r="C10" s="3" t="s">
        <v>34</v>
      </c>
      <c r="D10" s="3" t="s">
        <v>34</v>
      </c>
      <c r="E10" s="3" t="s">
        <v>34</v>
      </c>
      <c r="F10" s="3" t="s">
        <v>34</v>
      </c>
      <c r="G10" s="3" t="s">
        <v>34</v>
      </c>
      <c r="H10" s="3" t="s">
        <v>34</v>
      </c>
      <c r="I10" s="3" t="s">
        <v>34</v>
      </c>
      <c r="J10" s="5">
        <f>=IF(D10="","",D10*E10*(50+G10*5+H10*10)*(1+IF(Inputs!C5=1,0.3,IF(Inputs!C5=2,0.15,IF(Inputs!C5=3,0,-0.15))))*(F10/2.4))</f>
      </c>
      <c r="K10" s="5">
        <f>=IF(J10="","",CEILING(J10,100))</f>
      </c>
      <c r="L10">
        <f>=IF(K10="","",IF(K10&lt;=400,"HeatENE 400",IF(K10&lt;=600,"HeatENE 600",IF(K10&lt;=800,"HeatENE 800","HeatENE 1000"))))</f>
      </c>
    </row>
    <row r="11" spans="1:12" x14ac:dyDescent="0.25">
      <c r="A11">
        <v>8</v>
      </c>
      <c r="B11" s="3" t="s">
        <v>34</v>
      </c>
      <c r="C11" s="3" t="s">
        <v>34</v>
      </c>
      <c r="D11" s="3" t="s">
        <v>34</v>
      </c>
      <c r="E11" s="3" t="s">
        <v>34</v>
      </c>
      <c r="F11" s="3" t="s">
        <v>34</v>
      </c>
      <c r="G11" s="3" t="s">
        <v>34</v>
      </c>
      <c r="H11" s="3" t="s">
        <v>34</v>
      </c>
      <c r="I11" s="3" t="s">
        <v>34</v>
      </c>
      <c r="J11" s="5">
        <f>=IF(D11="","",D11*E11*(50+G11*5+H11*10)*(1+IF(Inputs!C5=1,0.3,IF(Inputs!C5=2,0.15,IF(Inputs!C5=3,0,-0.15))))*(F11/2.4))</f>
      </c>
      <c r="K11" s="5">
        <f>=IF(J11="","",CEILING(J11,100))</f>
      </c>
      <c r="L11">
        <f>=IF(K11="","",IF(K11&lt;=400,"HeatENE 400",IF(K11&lt;=600,"HeatENE 600",IF(K11&lt;=800,"HeatENE 800","HeatENE 1000"))))</f>
      </c>
    </row>
    <row r="12" spans="1:12" x14ac:dyDescent="0.25">
      <c r="A12">
        <v>9</v>
      </c>
      <c r="B12" s="3" t="s">
        <v>34</v>
      </c>
      <c r="C12" s="3" t="s">
        <v>34</v>
      </c>
      <c r="D12" s="3" t="s">
        <v>34</v>
      </c>
      <c r="E12" s="3" t="s">
        <v>34</v>
      </c>
      <c r="F12" s="3" t="s">
        <v>34</v>
      </c>
      <c r="G12" s="3" t="s">
        <v>34</v>
      </c>
      <c r="H12" s="3" t="s">
        <v>34</v>
      </c>
      <c r="I12" s="3" t="s">
        <v>34</v>
      </c>
      <c r="J12" s="5">
        <f>=IF(D12="","",D12*E12*(50+G12*5+H12*10)*(1+IF(Inputs!C5=1,0.3,IF(Inputs!C5=2,0.15,IF(Inputs!C5=3,0,-0.15))))*(F12/2.4))</f>
      </c>
      <c r="K12" s="5">
        <f>=IF(J12="","",CEILING(J12,100))</f>
      </c>
      <c r="L12">
        <f>=IF(K12="","",IF(K12&lt;=400,"HeatENE 400",IF(K12&lt;=600,"HeatENE 600",IF(K12&lt;=800,"HeatENE 800","HeatENE 1000"))))</f>
      </c>
    </row>
    <row r="13" spans="1:12" x14ac:dyDescent="0.25">
      <c r="A13">
        <v>10</v>
      </c>
      <c r="B13" s="3" t="s">
        <v>34</v>
      </c>
      <c r="C13" s="3" t="s">
        <v>34</v>
      </c>
      <c r="D13" s="3" t="s">
        <v>34</v>
      </c>
      <c r="E13" s="3" t="s">
        <v>34</v>
      </c>
      <c r="F13" s="3" t="s">
        <v>34</v>
      </c>
      <c r="G13" s="3" t="s">
        <v>34</v>
      </c>
      <c r="H13" s="3" t="s">
        <v>34</v>
      </c>
      <c r="I13" s="3" t="s">
        <v>34</v>
      </c>
      <c r="J13" s="5">
        <f>=IF(D13="","",D13*E13*(50+G13*5+H13*10)*(1+IF(Inputs!C5=1,0.3,IF(Inputs!C5=2,0.15,IF(Inputs!C5=3,0,-0.15))))*(F13/2.4))</f>
      </c>
      <c r="K13" s="5">
        <f>=IF(J13="","",CEILING(J13,100))</f>
      </c>
      <c r="L13">
        <f>=IF(K13="","",IF(K13&lt;=400,"HeatENE 400",IF(K13&lt;=600,"HeatENE 600",IF(K13&lt;=800,"HeatENE 800","HeatENE 1000"))))</f>
      </c>
    </row>
    <row r="16" spans="2:2" x14ac:dyDescent="0.25">
      <c r="B16" s="6" t="s">
        <v>35</v>
      </c>
    </row>
    <row r="17" spans="2:2" x14ac:dyDescent="0.25">
      <c r="B17" s="7" t="s">
        <v>36</v>
      </c>
    </row>
    <row r="18" spans="2:2" x14ac:dyDescent="0.25">
      <c r="B18" s="6" t="s">
        <v>37</v>
      </c>
    </row>
    <row r="19" spans="2:2" x14ac:dyDescent="0.25">
      <c r="B19" s="7" t="s">
        <v>38</v>
      </c>
    </row>
    <row r="20" spans="2:2" x14ac:dyDescent="0.25">
      <c r="B20" s="6" t="s">
        <v>39</v>
      </c>
    </row>
    <row r="21" spans="2:2" x14ac:dyDescent="0.25">
      <c r="B21" s="7" t="s">
        <v>40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CAF50"/>
  </sheetPr>
  <dimension ref="A1:E38"/>
  <sheetFormatPr defaultRowHeight="15" outlineLevelRow="0" outlineLevelCol="0" x14ac:dyDescent="55"/>
  <cols>
    <col min="1" max="1" width="5" customWidth="1"/>
    <col min="2" max="2" width="35" customWidth="1"/>
    <col min="3" max="4" width="20" customWidth="1"/>
    <col min="5" max="5" width="30" customWidth="1"/>
  </cols>
  <sheetData>
    <row r="1" ht="30" customHeight="1" spans="1:5" x14ac:dyDescent="0.25">
      <c r="A1" s="1" t="s">
        <v>41</v>
      </c>
      <c r="B1"/>
      <c r="C1"/>
      <c r="D1"/>
      <c r="E1"/>
    </row>
    <row r="3" spans="2:2" x14ac:dyDescent="0.25">
      <c r="B3" s="2" t="s">
        <v>42</v>
      </c>
    </row>
    <row r="4" spans="2:3" x14ac:dyDescent="0.25">
      <c r="B4" t="s">
        <v>43</v>
      </c>
      <c r="C4" s="8">
        <f>=SUM(Rooms!J4:J13)</f>
      </c>
    </row>
    <row r="5" spans="2:3" x14ac:dyDescent="0.25">
      <c r="B5" t="s">
        <v>44</v>
      </c>
      <c r="C5" s="8">
        <f>=COUNTIF(Rooms!K4:K13,"&gt;0")</f>
      </c>
    </row>
    <row r="6" spans="2:3" x14ac:dyDescent="0.25">
      <c r="B6" t="s">
        <v>45</v>
      </c>
      <c r="C6" s="8">
        <f>=SUM(Rooms!K4:K13)</f>
      </c>
    </row>
    <row r="8" spans="2:2" x14ac:dyDescent="0.25">
      <c r="B8" s="2" t="s">
        <v>46</v>
      </c>
    </row>
    <row r="9" spans="2:3" x14ac:dyDescent="0.25">
      <c r="B9" t="s">
        <v>47</v>
      </c>
      <c r="C9" s="9">
        <f>=COUNTIF(Rooms!L4:L13,"HeatENE 400")*280</f>
      </c>
    </row>
    <row r="10" spans="2:3" x14ac:dyDescent="0.25">
      <c r="B10" t="s">
        <v>48</v>
      </c>
      <c r="C10" s="9">
        <f>=COUNTIF(Rooms!L4:L13,"HeatENE 600")*350</f>
      </c>
    </row>
    <row r="11" spans="2:3" x14ac:dyDescent="0.25">
      <c r="B11" t="s">
        <v>49</v>
      </c>
      <c r="C11" s="9">
        <f>=COUNTIF(Rooms!L4:L13,"HeatENE 800")*420</f>
      </c>
    </row>
    <row r="12" spans="2:3" x14ac:dyDescent="0.25">
      <c r="B12" t="s">
        <v>50</v>
      </c>
      <c r="C12" s="9">
        <f>=COUNTIF(Rooms!L4:L13,"HeatENE 1000")*500</f>
      </c>
    </row>
    <row r="13" spans="2:3" x14ac:dyDescent="0.25">
      <c r="B13" t="s">
        <v>51</v>
      </c>
      <c r="C13" s="10">
        <f>=SUM(C9:C12)</f>
      </c>
    </row>
    <row r="14" spans="2:3" x14ac:dyDescent="0.25">
      <c r="B14" t="s">
        <v>52</v>
      </c>
      <c r="C14" s="9">
        <f>=C5*50</f>
      </c>
    </row>
    <row r="15" spans="2:3" x14ac:dyDescent="0.25">
      <c r="B15" t="s">
        <v>53</v>
      </c>
      <c r="C15" s="11">
        <f>=C13+C14</f>
      </c>
    </row>
    <row r="17" spans="2:2" x14ac:dyDescent="0.25">
      <c r="B17" s="2" t="s">
        <v>54</v>
      </c>
    </row>
    <row r="18" spans="2:3" x14ac:dyDescent="0.25">
      <c r="B18" t="s">
        <v>55</v>
      </c>
      <c r="C18" s="9">
        <f>=Inputs!C12</f>
      </c>
    </row>
    <row r="19" spans="2:5" x14ac:dyDescent="0.25">
      <c r="B19" t="s">
        <v>56</v>
      </c>
      <c r="C19" s="9">
        <f>=C6*8*180*(Inputs!C10/100)/1000</f>
      </c>
      <c r="E19" s="4" t="s">
        <v>57</v>
      </c>
    </row>
    <row r="20" spans="2:3" x14ac:dyDescent="0.25">
      <c r="B20" t="s">
        <v>58</v>
      </c>
      <c r="C20" s="12">
        <f>=C18-C19</f>
      </c>
    </row>
    <row r="21" spans="2:3" x14ac:dyDescent="0.25">
      <c r="B21" t="s">
        <v>59</v>
      </c>
      <c r="C21" s="13">
        <f>=IF(C20&gt;0,C13/C20,"N/A")</f>
      </c>
    </row>
    <row r="23" spans="2:2" x14ac:dyDescent="0.25">
      <c r="B23" s="2" t="s">
        <v>60</v>
      </c>
    </row>
    <row r="24" spans="2:5" x14ac:dyDescent="0.25">
      <c r="B24" t="s">
        <v>61</v>
      </c>
      <c r="C24" s="5">
        <f>=IF(Inputs!C8=1,(C18/(Inputs!C11/100))*0.182-(C19/(Inputs!C10/100))*0.207,0)</f>
      </c>
      <c r="E24" s="4" t="s">
        <v>62</v>
      </c>
    </row>
    <row r="26" spans="2:2" x14ac:dyDescent="0.25">
      <c r="B26" s="2" t="s">
        <v>63</v>
      </c>
    </row>
    <row r="27" spans="2:4" x14ac:dyDescent="0.25">
      <c r="B27" s="6" t="s">
        <v>64</v>
      </c>
      <c r="C27" s="6" t="s">
        <v>65</v>
      </c>
      <c r="D27" s="6" t="s">
        <v>66</v>
      </c>
    </row>
    <row r="28" spans="2:4" x14ac:dyDescent="0.25">
      <c r="B28">
        <v>0</v>
      </c>
      <c r="C28" s="9">
        <f>=C18*0</f>
      </c>
      <c r="D28" s="9">
        <f>=C13+C19*0</f>
      </c>
    </row>
    <row r="29" spans="2:4" x14ac:dyDescent="0.25">
      <c r="B29">
        <v>1</v>
      </c>
      <c r="C29" s="9">
        <f>=C18*1</f>
      </c>
      <c r="D29" s="9">
        <f>=C13+C19*1</f>
      </c>
    </row>
    <row r="30" spans="2:4" x14ac:dyDescent="0.25">
      <c r="B30">
        <v>2</v>
      </c>
      <c r="C30" s="9">
        <f>=C18*2</f>
      </c>
      <c r="D30" s="9">
        <f>=C13+C19*2</f>
      </c>
    </row>
    <row r="31" spans="2:4" x14ac:dyDescent="0.25">
      <c r="B31">
        <v>3</v>
      </c>
      <c r="C31" s="9">
        <f>=C18*3</f>
      </c>
      <c r="D31" s="9">
        <f>=C13+C19*3</f>
      </c>
    </row>
    <row r="32" spans="2:4" x14ac:dyDescent="0.25">
      <c r="B32">
        <v>4</v>
      </c>
      <c r="C32" s="9">
        <f>=C18*4</f>
      </c>
      <c r="D32" s="9">
        <f>=C13+C19*4</f>
      </c>
    </row>
    <row r="33" spans="2:4" x14ac:dyDescent="0.25">
      <c r="B33">
        <v>5</v>
      </c>
      <c r="C33" s="9">
        <f>=C18*5</f>
      </c>
      <c r="D33" s="9">
        <f>=C13+C19*5</f>
      </c>
    </row>
    <row r="34" spans="2:4" x14ac:dyDescent="0.25">
      <c r="B34">
        <v>6</v>
      </c>
      <c r="C34" s="9">
        <f>=C18*6</f>
      </c>
      <c r="D34" s="9">
        <f>=C13+C19*6</f>
      </c>
    </row>
    <row r="35" spans="2:4" x14ac:dyDescent="0.25">
      <c r="B35">
        <v>7</v>
      </c>
      <c r="C35" s="9">
        <f>=C18*7</f>
      </c>
      <c r="D35" s="9">
        <f>=C13+C19*7</f>
      </c>
    </row>
    <row r="36" spans="2:4" x14ac:dyDescent="0.25">
      <c r="B36">
        <v>8</v>
      </c>
      <c r="C36" s="9">
        <f>=C18*8</f>
      </c>
      <c r="D36" s="9">
        <f>=C13+C19*8</f>
      </c>
    </row>
    <row r="37" spans="2:4" x14ac:dyDescent="0.25">
      <c r="B37">
        <v>9</v>
      </c>
      <c r="C37" s="9">
        <f>=C18*9</f>
      </c>
      <c r="D37" s="9">
        <f>=C13+C19*9</f>
      </c>
    </row>
    <row r="38" spans="2:4" x14ac:dyDescent="0.25">
      <c r="B38">
        <v>10</v>
      </c>
      <c r="C38" s="9">
        <f>=C18*10</f>
      </c>
      <c r="D38" s="9">
        <f>=C13+C19*10</f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9C27B0"/>
  </sheetPr>
  <dimension ref="A1:E9"/>
  <sheetFormatPr defaultRowHeight="15" outlineLevelRow="0" outlineLevelCol="0" x14ac:dyDescent="55"/>
  <cols>
    <col min="1" max="1" width="5" customWidth="1"/>
    <col min="2" max="2" width="20" customWidth="1"/>
    <col min="3" max="4" width="15" customWidth="1"/>
    <col min="5" max="5" width="30" customWidth="1"/>
  </cols>
  <sheetData>
    <row r="1" ht="30" customHeight="1" spans="1:5" x14ac:dyDescent="0.25">
      <c r="A1" s="1" t="s">
        <v>67</v>
      </c>
      <c r="B1"/>
      <c r="C1"/>
      <c r="D1"/>
      <c r="E1"/>
    </row>
    <row r="3" spans="2:5" x14ac:dyDescent="0.25">
      <c r="B3" s="2" t="s">
        <v>68</v>
      </c>
      <c r="C3" s="2" t="s">
        <v>69</v>
      </c>
      <c r="D3" s="2" t="s">
        <v>70</v>
      </c>
      <c r="E3" s="2" t="s">
        <v>71</v>
      </c>
    </row>
    <row r="4" spans="2:5" x14ac:dyDescent="0.25">
      <c r="B4" t="s">
        <v>72</v>
      </c>
      <c r="C4" s="14">
        <v>400</v>
      </c>
      <c r="D4" s="3">
        <v>280</v>
      </c>
      <c r="E4" t="s">
        <v>73</v>
      </c>
    </row>
    <row r="5" spans="2:5" x14ac:dyDescent="0.25">
      <c r="B5" t="s">
        <v>74</v>
      </c>
      <c r="C5" s="14">
        <v>600</v>
      </c>
      <c r="D5" s="3">
        <v>350</v>
      </c>
      <c r="E5" t="s">
        <v>75</v>
      </c>
    </row>
    <row r="6" spans="2:5" x14ac:dyDescent="0.25">
      <c r="B6" t="s">
        <v>76</v>
      </c>
      <c r="C6" s="14">
        <v>800</v>
      </c>
      <c r="D6" s="3">
        <v>420</v>
      </c>
      <c r="E6" t="s">
        <v>77</v>
      </c>
    </row>
    <row r="7" spans="2:5" x14ac:dyDescent="0.25">
      <c r="B7" t="s">
        <v>78</v>
      </c>
      <c r="C7" s="14">
        <v>1000</v>
      </c>
      <c r="D7" s="3">
        <v>500</v>
      </c>
      <c r="E7" t="s">
        <v>79</v>
      </c>
    </row>
    <row r="9" spans="2:2" x14ac:dyDescent="0.25">
      <c r="B9" s="15" t="s">
        <v>80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Rooms</vt:lpstr>
      <vt:lpstr>Results</vt:lpstr>
      <vt:lpstr>Pricing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Best</dc:creator>
  <dc:title/>
  <dc:subject/>
  <dc:description/>
  <cp:keywords/>
  <cp:category/>
  <cp:lastModifiedBy>Unknown</cp:lastModifiedBy>
  <dcterms:created xsi:type="dcterms:W3CDTF">2026-02-01T05:47:29Z</dcterms:created>
  <dcterms:modified xsi:type="dcterms:W3CDTF">2026-02-01T05:47:29Z</dcterms:modified>
</cp:coreProperties>
</file>